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nthly_Y1" sheetId="3" state="visible" r:id="rId5"/>
    <sheet name="Annual_3Y" sheetId="4" state="visible" r:id="rId6"/>
    <sheet name="Unit_Economics" sheetId="5" state="visible" r:id="rId7"/>
    <sheet name="Cap_T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<sst xmlns="http://schemas.openxmlformats.org/spreadsheetml/2006/main" count="165" uniqueCount="134">
  <si>
    <t xml:space="preserve">Mizan 3-Year Financial Model</t>
  </si>
  <si>
    <t xml:space="preserve">Version: 1.0 · Prepared: 18 May 2026 · Maintained by: jk</t>
  </si>
  <si>
    <t xml:space="preserve">How to use this model</t>
  </si>
  <si>
    <t xml:space="preserve">1.</t>
  </si>
  <si>
    <t xml:space="preserve">Edit assumptions in the Assumptions sheet. Blue numbers are inputs — change them. Black numbers are calculated — do not edit.</t>
  </si>
  <si>
    <t xml:space="preserve">2.</t>
  </si>
  <si>
    <t xml:space="preserve">Yellow-highlighted cells are the most important assumptions. If you change nothing else, change these.</t>
  </si>
  <si>
    <t xml:space="preserve">3.</t>
  </si>
  <si>
    <t xml:space="preserve">Monthly_Y1 shows the user ramp in detail for year 1 (alpha → beta → paid launch → 5K paying).</t>
  </si>
  <si>
    <t xml:space="preserve">4.</t>
  </si>
  <si>
    <t xml:space="preserve">Annual_3Y rolls year 1 up and projects year 2-3 from drivers.</t>
  </si>
  <si>
    <t xml:space="preserve">5.</t>
  </si>
  <si>
    <t xml:space="preserve">Unit_Economics derives CAC, LTV, and payback from the drivers.</t>
  </si>
  <si>
    <t xml:space="preserve">6.</t>
  </si>
  <si>
    <t xml:space="preserve">Cap_Table shows ownership through pre-seed, seed, and Series A scenarios.</t>
  </si>
  <si>
    <t xml:space="preserve">Color convention</t>
  </si>
  <si>
    <t xml:space="preserve">Blue</t>
  </si>
  <si>
    <t xml:space="preserve">Hardcoded input (edit freely)</t>
  </si>
  <si>
    <t xml:space="preserve">Black</t>
  </si>
  <si>
    <t xml:space="preserve">Formula / calculated (do not edit)</t>
  </si>
  <si>
    <t xml:space="preserve">Green</t>
  </si>
  <si>
    <t xml:space="preserve">Cross-sheet link (do not edit)</t>
  </si>
  <si>
    <t xml:space="preserve">Yellow fill</t>
  </si>
  <si>
    <t xml:space="preserve">Key assumption — update before sharing</t>
  </si>
  <si>
    <t xml:space="preserve">Assumptions  (edit blue numbers only)</t>
  </si>
  <si>
    <t xml:space="preserve">Driver</t>
  </si>
  <si>
    <t xml:space="preserve">Year 1</t>
  </si>
  <si>
    <t xml:space="preserve">Year 2</t>
  </si>
  <si>
    <t xml:space="preserve">Year 3</t>
  </si>
  <si>
    <t xml:space="preserve">User growth</t>
  </si>
  <si>
    <t xml:space="preserve">Paying users (end of year)</t>
  </si>
  <si>
    <t xml:space="preserve">Total signups (end of year)</t>
  </si>
  <si>
    <t xml:space="preserve">Annual ARPU (USD, paying)</t>
  </si>
  <si>
    <t xml:space="preserve">Gross margin %</t>
  </si>
  <si>
    <t xml:space="preserve">Annual churn % (paying)</t>
  </si>
  <si>
    <t xml:space="preserve">Blended CAC (USD)</t>
  </si>
  <si>
    <t xml:space="preserve">Operating costs</t>
  </si>
  <si>
    <t xml:space="preserve">Personnel</t>
  </si>
  <si>
    <t xml:space="preserve">Shariah board + supervision</t>
  </si>
  <si>
    <t xml:space="preserve">Data + infrastructure</t>
  </si>
  <si>
    <t xml:space="preserve">Marketing</t>
  </si>
  <si>
    <t xml:space="preserve">Legal + compliance</t>
  </si>
  <si>
    <t xml:space="preserve">G&amp;A</t>
  </si>
  <si>
    <t xml:space="preserve">Funding</t>
  </si>
  <si>
    <t xml:space="preserve">Pre-seed cash in</t>
  </si>
  <si>
    <t xml:space="preserve">Seed cash in</t>
  </si>
  <si>
    <t xml:space="preserve">Series A cash in</t>
  </si>
  <si>
    <t xml:space="preserve">Yellow-highlighted cells are the most material assumptions. Everything downstream flows from these.</t>
  </si>
  <si>
    <t xml:space="preserve">Year 1 monthly P&amp;L  (drives Y1 column on Annual_3Y)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</si>
  <si>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</si>
  <si>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</si>
  <si>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</si>
  <si>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</si>
  <si>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</si>
  <si>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</si>
  <si>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</si>
  <si>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</si>
  <si>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</si>
  <si>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</si>
  <si>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</si>
  <si>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</si>
  <si>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Total Y1</t>
  </si>
  <si>
    <t xml:space="preserve">Stage</t>
  </si>
  <si>
    <t xml:space="preserve">Alpha</t>
  </si>
  <si>
    <t xml:space="preserve">Beta</t>
  </si>
  <si>
    <t xml:space="preserve">Paid launch</t>
  </si>
  <si>
    <t xml:space="preserve">Scale</t>
  </si>
  <si>
    <t xml:space="preserve">New paying users this month</t>
  </si>
  <si>
    <t xml:space="preserve">Paying users (cumulative)</t>
  </si>
  <si>
    <t xml:space="preserve">Monthly revenue</t>
  </si>
  <si>
    <t xml:space="preserve">Shariah board</t>
  </si>
  <si>
    <t xml:space="preserve">Data + infra</t>
  </si>
  <si>
    <t xml:space="preserve">Total opex</t>
  </si>
  <si>
    <t xml:space="preserve">EBITDA</t>
  </si>
  <si>
    <t xml:space="preserve">Cash, beginning</t>
  </si>
  <si>
    <t xml:space="preserve">Net cash flow</t>
  </si>
  <si>
    <t xml:space="preserve">Cash, ending</t>
  </si>
  <si>
    <t xml:space="preserve">3-year P&amp;L summary</t>
  </si>
  <si>
    <t xml:space="preserve">Line item</t>
  </si>
  <si>
    <t xml:space="preserve">ARPU (USD/yr)</t>
  </si>
  <si>
    <t xml:space="preserve">Exit ARR (EOY paying × ARPU)</t>
  </si>
  <si>
    <t xml:space="preserve">Revenue (recognized, in-year)</t>
  </si>
  <si>
    <t xml:space="preserve">Gross margin</t>
  </si>
  <si>
    <t xml:space="preserve">Gross profit</t>
  </si>
  <si>
    <t xml:space="preserve">EBITDA margin</t>
  </si>
  <si>
    <t xml:space="preserve">Cash raised</t>
  </si>
  <si>
    <t xml:space="preserve">Cash, beginning of year</t>
  </si>
  <si>
    <t xml:space="preserve">Net cash from ops (≈ EBITDA)</t>
  </si>
  <si>
    <t xml:space="preserve">Cash, end of year</t>
  </si>
  <si>
    <t xml:space="preserve">Unit economics</t>
  </si>
  <si>
    <t xml:space="preserve">Metric</t>
  </si>
  <si>
    <t xml:space="preserve">Formula</t>
  </si>
  <si>
    <t xml:space="preserve">ARPU (annual)</t>
  </si>
  <si>
    <t xml:space="preserve">From Assumptions</t>
  </si>
  <si>
    <t xml:space="preserve">Gross profit per user</t>
  </si>
  <si>
    <t xml:space="preserve">ARPU × GM%</t>
  </si>
  <si>
    <t xml:space="preserve">CAC (blended)</t>
  </si>
  <si>
    <t xml:space="preserve">Annual churn</t>
  </si>
  <si>
    <t xml:space="preserve">Customer lifetime (yrs)</t>
  </si>
  <si>
    <t xml:space="preserve">1 / churn</t>
  </si>
  <si>
    <t xml:space="preserve">LTV</t>
  </si>
  <si>
    <t xml:space="preserve">Gross profit per user × lifetime</t>
  </si>
  <si>
    <t xml:space="preserve">LTV : CAC</t>
  </si>
  <si>
    <t xml:space="preserve">Target ≥ 3x; aiming ≥ 10x</t>
  </si>
  <si>
    <t xml:space="preserve">Payback period (months)</t>
  </si>
  <si>
    <t xml:space="preserve">CAC / monthly gross profit per user</t>
  </si>
  <si>
    <t xml:space="preserve">Cap table — pre-seed, seed, Series A scenarios</t>
  </si>
  <si>
    <t xml:space="preserve">Round inputs</t>
  </si>
  <si>
    <t xml:space="preserve">Pre-seed raise (USD)</t>
  </si>
  <si>
    <t xml:space="preserve">Pre-seed post-money cap</t>
  </si>
  <si>
    <t xml:space="preserve">Seed raise (USD)</t>
  </si>
  <si>
    <t xml:space="preserve">Seed post-money</t>
  </si>
  <si>
    <t xml:space="preserve">Series A raise (USD)</t>
  </si>
  <si>
    <t xml:space="preserve">Series A post-money</t>
  </si>
  <si>
    <t xml:space="preserve">Pre-seed dilution</t>
  </si>
  <si>
    <t xml:space="preserve">Seed dilution (new $)</t>
  </si>
  <si>
    <t xml:space="preserve">Series A dilution (new $)</t>
  </si>
  <si>
    <t xml:space="preserve">Ownership grid</t>
  </si>
  <si>
    <t xml:space="preserve">Stakeholder</t>
  </si>
  <si>
    <t xml:space="preserve">At founding</t>
  </si>
  <si>
    <t xml:space="preserve">After pre-seed</t>
  </si>
  <si>
    <t xml:space="preserve">After seed</t>
  </si>
  <si>
    <t xml:space="preserve">After Series A</t>
  </si>
  <si>
    <t xml:space="preserve">Founder / CEO</t>
  </si>
  <si>
    <t xml:space="preserve">CTO co-founder</t>
  </si>
  <si>
    <t xml:space="preserve">Option pool</t>
  </si>
  <si>
    <t xml:space="preserve">Shariah board pool</t>
  </si>
  <si>
    <t xml:space="preserve">Pre-seed investors</t>
  </si>
  <si>
    <t xml:space="preserve">Seed investors</t>
  </si>
  <si>
    <t xml:space="preserve">Series A investors</t>
  </si>
  <si>
    <t xml:space="preserve">Total</t>
  </si>
  <si>
    <t xml:space="preserve">Implied valuation (post-money)</t>
  </si>
  <si>
    <t xml:space="preserve">Pre-financing</t>
  </si>
  <si>
    <t xml:space="preserve">Notes: Pre-seed modeled as SAFE converting at the post-money cap. Shariah pool is carved from the option pool at pre-seed close (the option pool was reserved at 10%; 1.5pp is now allocated to the Shariah board). Subsequent rounds dilute everyone pro-rata.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</si>
</sst>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3EBF3"/>
        <bgColor rgb="FFFFF8E7"/>
      </patternFill>
    </fill>
    <fill>
      <patternFill patternType="solid">
        <fgColor rgb="FFFFFFCC"/>
        <bgColor rgb="FFFFF8E7"/>
      </patternFill>
    </fill>
    <fill>
      <patternFill patternType="solid">
        <fgColor rgb="FFFFF8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3EB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0" t="s">
        <v>4</v>
      </c>
    </row>
    <row r="7" customFormat="false" ht="15" hidden="false" customHeight="false" outlineLevel="0" collapsed="false">
      <c r="A7" s="4" t="s">
        <v>5</v>
      </c>
      <c r="B7" s="0" t="s">
        <v>6</v>
      </c>
    </row>
    <row r="8" customFormat="false" ht="15" hidden="false" customHeight="false" outlineLevel="0" collapsed="false">
      <c r="A8" s="4" t="s">
        <v>7</v>
      </c>
      <c r="B8" s="0" t="s">
        <v>8</v>
      </c>
    </row>
    <row r="9" customFormat="false" ht="15" hidden="false" customHeight="false" outlineLevel="0" collapsed="false">
      <c r="A9" s="4" t="s">
        <v>9</v>
      </c>
      <c r="B9" s="0" t="s">
        <v>10</v>
      </c>
    </row>
    <row r="10" customFormat="false" ht="15" hidden="false" customHeight="false" outlineLevel="0" collapsed="false">
      <c r="A10" s="4" t="s">
        <v>11</v>
      </c>
      <c r="B10" s="0" t="s">
        <v>12</v>
      </c>
    </row>
    <row r="11" customFormat="false" ht="15" hidden="false" customHeight="false" outlineLevel="0" collapsed="false">
      <c r="A11" s="4" t="s">
        <v>13</v>
      </c>
      <c r="B11" s="0" t="s">
        <v>14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  <c r="B14" s="0" t="s">
        <v>17</v>
      </c>
    </row>
    <row r="15" customFormat="false" ht="15" hidden="false" customHeight="false" outlineLevel="0" collapsed="false">
      <c r="A15" s="4" t="s">
        <v>18</v>
      </c>
      <c r="B15" s="0" t="s">
        <v>19</v>
      </c>
    </row>
    <row r="16" customFormat="false" ht="15" hidden="false" customHeight="false" outlineLevel="0" collapsed="false">
      <c r="A16" s="4" t="s">
        <v>20</v>
      </c>
      <c r="B16" s="0" t="s">
        <v>21</v>
      </c>
    </row>
    <row r="17" customFormat="false" ht="15" hidden="false" customHeight="false" outlineLevel="0" collapsed="false">
      <c r="A17" s="4" t="s">
        <v>22</v>
      </c>
      <c r="B17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24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</row>
    <row r="5" customFormat="false" ht="15" hidden="false" customHeight="false" outlineLevel="0" collapsed="false">
      <c r="A5" s="6" t="s">
        <v>29</v>
      </c>
    </row>
    <row r="6" customFormat="false" ht="15" hidden="false" customHeight="false" outlineLevel="0" collapsed="false">
      <c r="A6" s="0" t="s">
        <v>30</v>
      </c>
      <c r="B6" s="7" t="n">
        <v>5000</v>
      </c>
      <c r="C6" s="7" t="n">
        <v>30000</v>
      </c>
      <c r="D6" s="7" t="n">
        <v>90000</v>
      </c>
    </row>
    <row r="7" customFormat="false" ht="15" hidden="false" customHeight="false" outlineLevel="0" collapsed="false">
      <c r="A7" s="0" t="s">
        <v>31</v>
      </c>
      <c r="B7" s="8" t="n">
        <v>50000</v>
      </c>
      <c r="C7" s="8" t="n">
        <v>250000</v>
      </c>
      <c r="D7" s="8" t="n">
        <v>700000</v>
      </c>
    </row>
    <row r="8" customFormat="false" ht="15" hidden="false" customHeight="false" outlineLevel="0" collapsed="false">
      <c r="A8" s="0" t="s">
        <v>32</v>
      </c>
      <c r="B8" s="9" t="n">
        <v>78</v>
      </c>
      <c r="C8" s="9" t="n">
        <v>95</v>
      </c>
      <c r="D8" s="9" t="n">
        <v>110</v>
      </c>
    </row>
    <row r="9" customFormat="false" ht="15" hidden="false" customHeight="false" outlineLevel="0" collapsed="false">
      <c r="A9" s="0" t="s">
        <v>33</v>
      </c>
      <c r="B9" s="10" t="n">
        <v>0.78</v>
      </c>
      <c r="C9" s="10" t="n">
        <v>0.82</v>
      </c>
      <c r="D9" s="10" t="n">
        <v>0.85</v>
      </c>
    </row>
    <row r="10" customFormat="false" ht="15" hidden="false" customHeight="false" outlineLevel="0" collapsed="false">
      <c r="A10" s="0" t="s">
        <v>34</v>
      </c>
      <c r="B10" s="10" t="n">
        <v>0.28</v>
      </c>
      <c r="C10" s="10" t="n">
        <v>0.22</v>
      </c>
      <c r="D10" s="10" t="n">
        <v>0.18</v>
      </c>
    </row>
    <row r="11" customFormat="false" ht="15" hidden="false" customHeight="false" outlineLevel="0" collapsed="false">
      <c r="A11" s="0" t="s">
        <v>35</v>
      </c>
      <c r="B11" s="9" t="n">
        <v>18</v>
      </c>
      <c r="C11" s="9" t="n">
        <v>25</v>
      </c>
      <c r="D11" s="9" t="n">
        <v>32</v>
      </c>
    </row>
    <row r="13" customFormat="false" ht="15" hidden="false" customHeight="false" outlineLevel="0" collapsed="false">
      <c r="A13" s="6" t="s">
        <v>36</v>
      </c>
    </row>
    <row r="14" customFormat="false" ht="15" hidden="false" customHeight="false" outlineLevel="0" collapsed="false">
      <c r="A14" s="0" t="s">
        <v>37</v>
      </c>
      <c r="B14" s="9" t="n">
        <v>580000</v>
      </c>
      <c r="C14" s="9" t="n">
        <v>1650000</v>
      </c>
      <c r="D14" s="9" t="n">
        <v>3800000</v>
      </c>
    </row>
    <row r="15" customFormat="false" ht="15" hidden="false" customHeight="false" outlineLevel="0" collapsed="false">
      <c r="A15" s="0" t="s">
        <v>38</v>
      </c>
      <c r="B15" s="11" t="n">
        <v>95000</v>
      </c>
      <c r="C15" s="11" t="n">
        <v>120000</v>
      </c>
      <c r="D15" s="11" t="n">
        <v>160000</v>
      </c>
    </row>
    <row r="16" customFormat="false" ht="15" hidden="false" customHeight="false" outlineLevel="0" collapsed="false">
      <c r="A16" s="0" t="s">
        <v>39</v>
      </c>
      <c r="B16" s="11" t="n">
        <v>45000</v>
      </c>
      <c r="C16" s="11" t="n">
        <v>120000</v>
      </c>
      <c r="D16" s="11" t="n">
        <v>280000</v>
      </c>
    </row>
    <row r="17" customFormat="false" ht="15" hidden="false" customHeight="false" outlineLevel="0" collapsed="false">
      <c r="A17" s="0" t="s">
        <v>40</v>
      </c>
      <c r="B17" s="11" t="n">
        <v>30000</v>
      </c>
      <c r="C17" s="11" t="n">
        <v>800000</v>
      </c>
      <c r="D17" s="11" t="n">
        <v>2200000</v>
      </c>
    </row>
    <row r="18" customFormat="false" ht="15" hidden="false" customHeight="false" outlineLevel="0" collapsed="false">
      <c r="A18" s="0" t="s">
        <v>41</v>
      </c>
      <c r="B18" s="11" t="n">
        <v>60000</v>
      </c>
      <c r="C18" s="11" t="n">
        <v>110000</v>
      </c>
      <c r="D18" s="11" t="n">
        <v>220000</v>
      </c>
    </row>
    <row r="19" customFormat="false" ht="15" hidden="false" customHeight="false" outlineLevel="0" collapsed="false">
      <c r="A19" s="0" t="s">
        <v>42</v>
      </c>
      <c r="B19" s="11" t="n">
        <v>40000</v>
      </c>
      <c r="C19" s="11" t="n">
        <v>95000</v>
      </c>
      <c r="D19" s="11" t="n">
        <v>260000</v>
      </c>
    </row>
    <row r="21" customFormat="false" ht="15" hidden="false" customHeight="false" outlineLevel="0" collapsed="false">
      <c r="A21" s="6" t="s">
        <v>43</v>
      </c>
    </row>
    <row r="22" customFormat="false" ht="15" hidden="false" customHeight="false" outlineLevel="0" collapsed="false">
      <c r="A22" s="0" t="s">
        <v>44</v>
      </c>
      <c r="B22" s="9" t="n">
        <v>750000</v>
      </c>
      <c r="C22" s="9" t="n">
        <v>0</v>
      </c>
      <c r="D22" s="9" t="n">
        <v>0</v>
      </c>
    </row>
    <row r="23" customFormat="false" ht="15" hidden="false" customHeight="false" outlineLevel="0" collapsed="false">
      <c r="A23" s="0" t="s">
        <v>45</v>
      </c>
      <c r="B23" s="9" t="n">
        <v>0</v>
      </c>
      <c r="C23" s="9" t="n">
        <v>4000000</v>
      </c>
      <c r="D23" s="9" t="n">
        <v>0</v>
      </c>
    </row>
    <row r="24" customFormat="false" ht="15" hidden="false" customHeight="false" outlineLevel="0" collapsed="false">
      <c r="A24" s="0" t="s">
        <v>46</v>
      </c>
      <c r="B24" s="9" t="n">
        <v>0</v>
      </c>
      <c r="C24" s="9" t="n">
        <v>0</v>
      </c>
      <c r="D24" s="9" t="n">
        <v>15000000</v>
      </c>
    </row>
    <row r="26" customFormat="false" ht="15" hidden="false" customHeight="false" outlineLevel="0" collapsed="false">
      <c r="A26" s="12" t="s">
        <v>47</v>
      </c>
      <c r="B26" s="12"/>
      <c r="C26" s="12"/>
      <c r="D26" s="12"/>
    </row>
  </sheetData>
  <mergeCells count="1"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25.5" hidden="false" customHeight="true" outlineLevel="0" collapsed="false">
      <c r="A1" s="1" t="s">
        <v>48</v>
      </c>
    </row>
    <row r="3" customFormat="false" ht="15" hidden="false" customHeight="false" outlineLevel="0" collapsed="false"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55</v>
      </c>
      <c r="I3" s="13" t="s">
        <v>56</v>
      </c>
      <c r="J3" s="13" t="s">
        <v>57</v>
      </c>
      <c r="K3" s="13" t="s">
        <v>58</v>
      </c>
      <c r="L3" s="13" t="s">
        <v>59</v>
      </c>
      <c r="M3" s="13" t="s">
        <v>60</v>
      </c>
      <c r="N3" s="13" t="s">
        <v>61</v>
      </c>
    </row>
    <row r="5" customFormat="false" ht="15" hidden="false" customHeight="false" outlineLevel="0" collapsed="false">
      <c r="A5" s="0" t="s">
        <v>62</v>
      </c>
      <c r="B5" s="14" t="s">
        <v>63</v>
      </c>
      <c r="C5" s="14" t="s">
        <v>63</v>
      </c>
      <c r="D5" s="14" t="s">
        <v>63</v>
      </c>
      <c r="E5" s="14" t="s">
        <v>64</v>
      </c>
      <c r="F5" s="14" t="s">
        <v>64</v>
      </c>
      <c r="G5" s="14" t="s">
        <v>64</v>
      </c>
      <c r="H5" s="14" t="s">
        <v>65</v>
      </c>
      <c r="I5" s="14" t="s">
        <v>66</v>
      </c>
      <c r="J5" s="14" t="s">
        <v>66</v>
      </c>
      <c r="K5" s="14" t="s">
        <v>66</v>
      </c>
      <c r="L5" s="14" t="s">
        <v>66</v>
      </c>
      <c r="M5" s="14" t="s">
        <v>66</v>
      </c>
    </row>
    <row r="7" customFormat="false" ht="15" hidden="false" customHeight="false" outlineLevel="0" collapsed="false">
      <c r="A7" s="4" t="s">
        <v>67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200</v>
      </c>
      <c r="I7" s="8" t="n">
        <v>300</v>
      </c>
      <c r="J7" s="8" t="n">
        <v>500</v>
      </c>
      <c r="K7" s="8" t="n">
        <v>1000</v>
      </c>
      <c r="L7" s="8" t="n">
        <v>1500</v>
      </c>
      <c r="M7" s="8" t="n">
        <v>1500</v>
      </c>
    </row>
    <row r="8" customFormat="false" ht="15" hidden="false" customHeight="false" outlineLevel="0" collapsed="false">
      <c r="A8" s="4" t="s">
        <v>68</v>
      </c>
      <c r="B8" s="15" t="n">
        <f aca="false">B7</f>
        <v>0</v>
      </c>
      <c r="C8" s="15" t="n">
        <f aca="false">B8+C7</f>
        <v>0</v>
      </c>
      <c r="D8" s="15" t="n">
        <f aca="false">C8+D7</f>
        <v>0</v>
      </c>
      <c r="E8" s="15" t="n">
        <f aca="false">D8+E7</f>
        <v>0</v>
      </c>
      <c r="F8" s="15" t="n">
        <f aca="false">E8+F7</f>
        <v>0</v>
      </c>
      <c r="G8" s="15" t="n">
        <f aca="false">F8+G7</f>
        <v>0</v>
      </c>
      <c r="H8" s="15" t="n">
        <f aca="false">G8+H7</f>
        <v>200</v>
      </c>
      <c r="I8" s="15" t="n">
        <f aca="false">H8+I7</f>
        <v>500</v>
      </c>
      <c r="J8" s="15" t="n">
        <f aca="false">I8+J7</f>
        <v>1000</v>
      </c>
      <c r="K8" s="15" t="n">
        <f aca="false">J8+K7</f>
        <v>2000</v>
      </c>
      <c r="L8" s="15" t="n">
        <f aca="false">K8+L7</f>
        <v>3500</v>
      </c>
      <c r="M8" s="15" t="n">
        <f aca="false">L8+M7</f>
        <v>5000</v>
      </c>
      <c r="N8" s="15" t="n">
        <f aca="false">M8</f>
        <v>5000</v>
      </c>
    </row>
    <row r="10" customFormat="false" ht="15" hidden="false" customHeight="false" outlineLevel="0" collapsed="false">
      <c r="A10" s="4" t="s">
        <v>69</v>
      </c>
      <c r="B10" s="16" t="n">
        <f aca="false">(B7/2)*Assumptions!$B$8/12</f>
        <v>0</v>
      </c>
      <c r="C10" s="16" t="n">
        <f aca="false">((B8+C8)/2)*Assumptions!$B$8/12</f>
        <v>0</v>
      </c>
      <c r="D10" s="16" t="n">
        <f aca="false">((C8+D8)/2)*Assumptions!$B$8/12</f>
        <v>0</v>
      </c>
      <c r="E10" s="16" t="n">
        <f aca="false">((D8+E8)/2)*Assumptions!$B$8/12</f>
        <v>0</v>
      </c>
      <c r="F10" s="16" t="n">
        <f aca="false">((E8+F8)/2)*Assumptions!$B$8/12</f>
        <v>0</v>
      </c>
      <c r="G10" s="16" t="n">
        <f aca="false">((F8+G8)/2)*Assumptions!$B$8/12</f>
        <v>0</v>
      </c>
      <c r="H10" s="16" t="n">
        <f aca="false">((G8+H8)/2)*Assumptions!$B$8/12</f>
        <v>650</v>
      </c>
      <c r="I10" s="16" t="n">
        <f aca="false">((H8+I8)/2)*Assumptions!$B$8/12</f>
        <v>2275</v>
      </c>
      <c r="J10" s="16" t="n">
        <f aca="false">((I8+J8)/2)*Assumptions!$B$8/12</f>
        <v>4875</v>
      </c>
      <c r="K10" s="16" t="n">
        <f aca="false">((J8+K8)/2)*Assumptions!$B$8/12</f>
        <v>9750</v>
      </c>
      <c r="L10" s="16" t="n">
        <f aca="false">((K8+L8)/2)*Assumptions!$B$8/12</f>
        <v>17875</v>
      </c>
      <c r="M10" s="16" t="n">
        <f aca="false">((L8+M8)/2)*Assumptions!$B$8/12</f>
        <v>27625</v>
      </c>
      <c r="N10" s="17" t="n">
        <f aca="false">SUM(B10:M10)</f>
        <v>63050</v>
      </c>
    </row>
    <row r="12" customFormat="false" ht="15" hidden="false" customHeight="false" outlineLevel="0" collapsed="false">
      <c r="A12" s="0" t="s">
        <v>37</v>
      </c>
      <c r="B12" s="16" t="n">
        <f aca="false">-Assumptions!$B$14/12</f>
        <v>-48333.3333333333</v>
      </c>
      <c r="C12" s="16" t="n">
        <f aca="false">-Assumptions!$B$14/12</f>
        <v>-48333.3333333333</v>
      </c>
      <c r="D12" s="16" t="n">
        <f aca="false">-Assumptions!$B$14/12</f>
        <v>-48333.3333333333</v>
      </c>
      <c r="E12" s="16" t="n">
        <f aca="false">-Assumptions!$B$14/12</f>
        <v>-48333.3333333333</v>
      </c>
      <c r="F12" s="16" t="n">
        <f aca="false">-Assumptions!$B$14/12</f>
        <v>-48333.3333333333</v>
      </c>
      <c r="G12" s="16" t="n">
        <f aca="false">-Assumptions!$B$14/12</f>
        <v>-48333.3333333333</v>
      </c>
      <c r="H12" s="16" t="n">
        <f aca="false">-Assumptions!$B$14/12</f>
        <v>-48333.3333333333</v>
      </c>
      <c r="I12" s="16" t="n">
        <f aca="false">-Assumptions!$B$14/12</f>
        <v>-48333.3333333333</v>
      </c>
      <c r="J12" s="16" t="n">
        <f aca="false">-Assumptions!$B$14/12</f>
        <v>-48333.3333333333</v>
      </c>
      <c r="K12" s="16" t="n">
        <f aca="false">-Assumptions!$B$14/12</f>
        <v>-48333.3333333333</v>
      </c>
      <c r="L12" s="16" t="n">
        <f aca="false">-Assumptions!$B$14/12</f>
        <v>-48333.3333333333</v>
      </c>
      <c r="M12" s="16" t="n">
        <f aca="false">-Assumptions!$B$14/12</f>
        <v>-48333.3333333333</v>
      </c>
      <c r="N12" s="18" t="n">
        <f aca="false">SUM(B12:M12)</f>
        <v>-580000</v>
      </c>
    </row>
    <row r="13" customFormat="false" ht="15" hidden="false" customHeight="false" outlineLevel="0" collapsed="false">
      <c r="A13" s="0" t="s">
        <v>70</v>
      </c>
      <c r="B13" s="16" t="n">
        <f aca="false">-Assumptions!$B$15/12</f>
        <v>-7916.66666666667</v>
      </c>
      <c r="C13" s="16" t="n">
        <f aca="false">-Assumptions!$B$15/12</f>
        <v>-7916.66666666667</v>
      </c>
      <c r="D13" s="16" t="n">
        <f aca="false">-Assumptions!$B$15/12</f>
        <v>-7916.66666666667</v>
      </c>
      <c r="E13" s="16" t="n">
        <f aca="false">-Assumptions!$B$15/12</f>
        <v>-7916.66666666667</v>
      </c>
      <c r="F13" s="16" t="n">
        <f aca="false">-Assumptions!$B$15/12</f>
        <v>-7916.66666666667</v>
      </c>
      <c r="G13" s="16" t="n">
        <f aca="false">-Assumptions!$B$15/12</f>
        <v>-7916.66666666667</v>
      </c>
      <c r="H13" s="16" t="n">
        <f aca="false">-Assumptions!$B$15/12</f>
        <v>-7916.66666666667</v>
      </c>
      <c r="I13" s="16" t="n">
        <f aca="false">-Assumptions!$B$15/12</f>
        <v>-7916.66666666667</v>
      </c>
      <c r="J13" s="16" t="n">
        <f aca="false">-Assumptions!$B$15/12</f>
        <v>-7916.66666666667</v>
      </c>
      <c r="K13" s="16" t="n">
        <f aca="false">-Assumptions!$B$15/12</f>
        <v>-7916.66666666667</v>
      </c>
      <c r="L13" s="16" t="n">
        <f aca="false">-Assumptions!$B$15/12</f>
        <v>-7916.66666666667</v>
      </c>
      <c r="M13" s="16" t="n">
        <f aca="false">-Assumptions!$B$15/12</f>
        <v>-7916.66666666667</v>
      </c>
      <c r="N13" s="18" t="n">
        <f aca="false">SUM(B13:M13)</f>
        <v>-95000</v>
      </c>
    </row>
    <row r="14" customFormat="false" ht="15" hidden="false" customHeight="false" outlineLevel="0" collapsed="false">
      <c r="A14" s="0" t="s">
        <v>71</v>
      </c>
      <c r="B14" s="16" t="n">
        <f aca="false">-Assumptions!$B$16/12</f>
        <v>-3750</v>
      </c>
      <c r="C14" s="16" t="n">
        <f aca="false">-Assumptions!$B$16/12</f>
        <v>-3750</v>
      </c>
      <c r="D14" s="16" t="n">
        <f aca="false">-Assumptions!$B$16/12</f>
        <v>-3750</v>
      </c>
      <c r="E14" s="16" t="n">
        <f aca="false">-Assumptions!$B$16/12</f>
        <v>-3750</v>
      </c>
      <c r="F14" s="16" t="n">
        <f aca="false">-Assumptions!$B$16/12</f>
        <v>-3750</v>
      </c>
      <c r="G14" s="16" t="n">
        <f aca="false">-Assumptions!$B$16/12</f>
        <v>-3750</v>
      </c>
      <c r="H14" s="16" t="n">
        <f aca="false">-Assumptions!$B$16/12</f>
        <v>-3750</v>
      </c>
      <c r="I14" s="16" t="n">
        <f aca="false">-Assumptions!$B$16/12</f>
        <v>-3750</v>
      </c>
      <c r="J14" s="16" t="n">
        <f aca="false">-Assumptions!$B$16/12</f>
        <v>-3750</v>
      </c>
      <c r="K14" s="16" t="n">
        <f aca="false">-Assumptions!$B$16/12</f>
        <v>-3750</v>
      </c>
      <c r="L14" s="16" t="n">
        <f aca="false">-Assumptions!$B$16/12</f>
        <v>-3750</v>
      </c>
      <c r="M14" s="16" t="n">
        <f aca="false">-Assumptions!$B$16/12</f>
        <v>-3750</v>
      </c>
      <c r="N14" s="18" t="n">
        <f aca="false">SUM(B14:M14)</f>
        <v>-45000</v>
      </c>
    </row>
    <row r="15" customFormat="false" ht="15" hidden="false" customHeight="false" outlineLevel="0" collapsed="false">
      <c r="A15" s="0" t="s">
        <v>40</v>
      </c>
      <c r="B15" s="16" t="n">
        <f aca="false">-Assumptions!$B$17/12</f>
        <v>-2500</v>
      </c>
      <c r="C15" s="16" t="n">
        <f aca="false">-Assumptions!$B$17/12</f>
        <v>-2500</v>
      </c>
      <c r="D15" s="16" t="n">
        <f aca="false">-Assumptions!$B$17/12</f>
        <v>-2500</v>
      </c>
      <c r="E15" s="16" t="n">
        <f aca="false">-Assumptions!$B$17/12</f>
        <v>-2500</v>
      </c>
      <c r="F15" s="16" t="n">
        <f aca="false">-Assumptions!$B$17/12</f>
        <v>-2500</v>
      </c>
      <c r="G15" s="16" t="n">
        <f aca="false">-Assumptions!$B$17/12</f>
        <v>-2500</v>
      </c>
      <c r="H15" s="16" t="n">
        <f aca="false">-Assumptions!$B$17/12</f>
        <v>-2500</v>
      </c>
      <c r="I15" s="16" t="n">
        <f aca="false">-Assumptions!$B$17/12</f>
        <v>-2500</v>
      </c>
      <c r="J15" s="16" t="n">
        <f aca="false">-Assumptions!$B$17/12</f>
        <v>-2500</v>
      </c>
      <c r="K15" s="16" t="n">
        <f aca="false">-Assumptions!$B$17/12</f>
        <v>-2500</v>
      </c>
      <c r="L15" s="16" t="n">
        <f aca="false">-Assumptions!$B$17/12</f>
        <v>-2500</v>
      </c>
      <c r="M15" s="16" t="n">
        <f aca="false">-Assumptions!$B$17/12</f>
        <v>-2500</v>
      </c>
      <c r="N15" s="18" t="n">
        <f aca="false">SUM(B15:M15)</f>
        <v>-30000</v>
      </c>
    </row>
    <row r="16" customFormat="false" ht="15" hidden="false" customHeight="false" outlineLevel="0" collapsed="false">
      <c r="A16" s="0" t="s">
        <v>41</v>
      </c>
      <c r="B16" s="16" t="n">
        <f aca="false">-Assumptions!$B$18/12</f>
        <v>-5000</v>
      </c>
      <c r="C16" s="16" t="n">
        <f aca="false">-Assumptions!$B$18/12</f>
        <v>-5000</v>
      </c>
      <c r="D16" s="16" t="n">
        <f aca="false">-Assumptions!$B$18/12</f>
        <v>-5000</v>
      </c>
      <c r="E16" s="16" t="n">
        <f aca="false">-Assumptions!$B$18/12</f>
        <v>-5000</v>
      </c>
      <c r="F16" s="16" t="n">
        <f aca="false">-Assumptions!$B$18/12</f>
        <v>-5000</v>
      </c>
      <c r="G16" s="16" t="n">
        <f aca="false">-Assumptions!$B$18/12</f>
        <v>-5000</v>
      </c>
      <c r="H16" s="16" t="n">
        <f aca="false">-Assumptions!$B$18/12</f>
        <v>-5000</v>
      </c>
      <c r="I16" s="16" t="n">
        <f aca="false">-Assumptions!$B$18/12</f>
        <v>-5000</v>
      </c>
      <c r="J16" s="16" t="n">
        <f aca="false">-Assumptions!$B$18/12</f>
        <v>-5000</v>
      </c>
      <c r="K16" s="16" t="n">
        <f aca="false">-Assumptions!$B$18/12</f>
        <v>-5000</v>
      </c>
      <c r="L16" s="16" t="n">
        <f aca="false">-Assumptions!$B$18/12</f>
        <v>-5000</v>
      </c>
      <c r="M16" s="16" t="n">
        <f aca="false">-Assumptions!$B$18/12</f>
        <v>-5000</v>
      </c>
      <c r="N16" s="18" t="n">
        <f aca="false">SUM(B16:M16)</f>
        <v>-60000</v>
      </c>
    </row>
    <row r="17" customFormat="false" ht="15" hidden="false" customHeight="false" outlineLevel="0" collapsed="false">
      <c r="A17" s="0" t="s">
        <v>42</v>
      </c>
      <c r="B17" s="16" t="n">
        <f aca="false">-Assumptions!$B$19/12</f>
        <v>-3333.33333333333</v>
      </c>
      <c r="C17" s="16" t="n">
        <f aca="false">-Assumptions!$B$19/12</f>
        <v>-3333.33333333333</v>
      </c>
      <c r="D17" s="16" t="n">
        <f aca="false">-Assumptions!$B$19/12</f>
        <v>-3333.33333333333</v>
      </c>
      <c r="E17" s="16" t="n">
        <f aca="false">-Assumptions!$B$19/12</f>
        <v>-3333.33333333333</v>
      </c>
      <c r="F17" s="16" t="n">
        <f aca="false">-Assumptions!$B$19/12</f>
        <v>-3333.33333333333</v>
      </c>
      <c r="G17" s="16" t="n">
        <f aca="false">-Assumptions!$B$19/12</f>
        <v>-3333.33333333333</v>
      </c>
      <c r="H17" s="16" t="n">
        <f aca="false">-Assumptions!$B$19/12</f>
        <v>-3333.33333333333</v>
      </c>
      <c r="I17" s="16" t="n">
        <f aca="false">-Assumptions!$B$19/12</f>
        <v>-3333.33333333333</v>
      </c>
      <c r="J17" s="16" t="n">
        <f aca="false">-Assumptions!$B$19/12</f>
        <v>-3333.33333333333</v>
      </c>
      <c r="K17" s="16" t="n">
        <f aca="false">-Assumptions!$B$19/12</f>
        <v>-3333.33333333333</v>
      </c>
      <c r="L17" s="16" t="n">
        <f aca="false">-Assumptions!$B$19/12</f>
        <v>-3333.33333333333</v>
      </c>
      <c r="M17" s="16" t="n">
        <f aca="false">-Assumptions!$B$19/12</f>
        <v>-3333.33333333333</v>
      </c>
      <c r="N17" s="18" t="n">
        <f aca="false">SUM(B17:M17)</f>
        <v>-40000</v>
      </c>
    </row>
    <row r="19" customFormat="false" ht="15" hidden="false" customHeight="false" outlineLevel="0" collapsed="false">
      <c r="A19" s="4" t="s">
        <v>72</v>
      </c>
      <c r="B19" s="17" t="n">
        <f aca="false">SUM(B12:B17)</f>
        <v>-70833.3333333333</v>
      </c>
      <c r="C19" s="17" t="n">
        <f aca="false">SUM(C12:C17)</f>
        <v>-70833.3333333333</v>
      </c>
      <c r="D19" s="17" t="n">
        <f aca="false">SUM(D12:D17)</f>
        <v>-70833.3333333333</v>
      </c>
      <c r="E19" s="17" t="n">
        <f aca="false">SUM(E12:E17)</f>
        <v>-70833.3333333333</v>
      </c>
      <c r="F19" s="17" t="n">
        <f aca="false">SUM(F12:F17)</f>
        <v>-70833.3333333333</v>
      </c>
      <c r="G19" s="17" t="n">
        <f aca="false">SUM(G12:G17)</f>
        <v>-70833.3333333333</v>
      </c>
      <c r="H19" s="17" t="n">
        <f aca="false">SUM(H12:H17)</f>
        <v>-70833.3333333333</v>
      </c>
      <c r="I19" s="17" t="n">
        <f aca="false">SUM(I12:I17)</f>
        <v>-70833.3333333333</v>
      </c>
      <c r="J19" s="17" t="n">
        <f aca="false">SUM(J12:J17)</f>
        <v>-70833.3333333333</v>
      </c>
      <c r="K19" s="17" t="n">
        <f aca="false">SUM(K12:K17)</f>
        <v>-70833.3333333333</v>
      </c>
      <c r="L19" s="17" t="n">
        <f aca="false">SUM(L12:L17)</f>
        <v>-70833.3333333333</v>
      </c>
      <c r="M19" s="17" t="n">
        <f aca="false">SUM(M12:M17)</f>
        <v>-70833.3333333333</v>
      </c>
      <c r="N19" s="17" t="n">
        <f aca="false">SUM(N12:N17)</f>
        <v>-850000</v>
      </c>
    </row>
    <row r="21" customFormat="false" ht="15" hidden="false" customHeight="false" outlineLevel="0" collapsed="false">
      <c r="A21" s="4" t="s">
        <v>73</v>
      </c>
      <c r="B21" s="17" t="n">
        <f aca="false">B10*Assumptions!$B$9+B19</f>
        <v>-70833.3333333333</v>
      </c>
      <c r="C21" s="17" t="n">
        <f aca="false">C10*Assumptions!$B$9+C19</f>
        <v>-70833.3333333333</v>
      </c>
      <c r="D21" s="17" t="n">
        <f aca="false">D10*Assumptions!$B$9+D19</f>
        <v>-70833.3333333333</v>
      </c>
      <c r="E21" s="17" t="n">
        <f aca="false">E10*Assumptions!$B$9+E19</f>
        <v>-70833.3333333333</v>
      </c>
      <c r="F21" s="17" t="n">
        <f aca="false">F10*Assumptions!$B$9+F19</f>
        <v>-70833.3333333333</v>
      </c>
      <c r="G21" s="17" t="n">
        <f aca="false">G10*Assumptions!$B$9+G19</f>
        <v>-70833.3333333333</v>
      </c>
      <c r="H21" s="17" t="n">
        <f aca="false">H10*Assumptions!$B$9+H19</f>
        <v>-70326.3333333333</v>
      </c>
      <c r="I21" s="17" t="n">
        <f aca="false">I10*Assumptions!$B$9+I19</f>
        <v>-69058.8333333333</v>
      </c>
      <c r="J21" s="17" t="n">
        <f aca="false">J10*Assumptions!$B$9+J19</f>
        <v>-67030.8333333333</v>
      </c>
      <c r="K21" s="17" t="n">
        <f aca="false">K10*Assumptions!$B$9+K19</f>
        <v>-63228.3333333333</v>
      </c>
      <c r="L21" s="17" t="n">
        <f aca="false">L10*Assumptions!$B$9+L19</f>
        <v>-56890.8333333333</v>
      </c>
      <c r="M21" s="17" t="n">
        <f aca="false">M10*Assumptions!$B$9+M19</f>
        <v>-49285.8333333333</v>
      </c>
      <c r="N21" s="18" t="n">
        <f aca="false">SUM(B21:M21)</f>
        <v>-800821</v>
      </c>
    </row>
    <row r="23" customFormat="false" ht="15" hidden="false" customHeight="false" outlineLevel="0" collapsed="false">
      <c r="A23" s="0" t="s">
        <v>74</v>
      </c>
      <c r="B23" s="16" t="n">
        <f aca="false">Assumptions!B22</f>
        <v>750000</v>
      </c>
      <c r="C23" s="17" t="n">
        <f aca="false">B25</f>
        <v>679166.666666667</v>
      </c>
      <c r="D23" s="17" t="n">
        <f aca="false">C25</f>
        <v>608333.333333333</v>
      </c>
      <c r="E23" s="17" t="n">
        <f aca="false">D25</f>
        <v>537500</v>
      </c>
      <c r="F23" s="17" t="n">
        <f aca="false">E25</f>
        <v>466666.666666667</v>
      </c>
      <c r="G23" s="17" t="n">
        <f aca="false">F25</f>
        <v>395833.333333333</v>
      </c>
      <c r="H23" s="17" t="n">
        <f aca="false">G25</f>
        <v>325000</v>
      </c>
      <c r="I23" s="17" t="n">
        <f aca="false">H25</f>
        <v>254673.666666666</v>
      </c>
      <c r="J23" s="17" t="n">
        <f aca="false">I25</f>
        <v>185614.833333333</v>
      </c>
      <c r="K23" s="17" t="n">
        <f aca="false">J25</f>
        <v>118584</v>
      </c>
      <c r="L23" s="17" t="n">
        <f aca="false">K25</f>
        <v>55355.6666666664</v>
      </c>
      <c r="M23" s="17" t="n">
        <f aca="false">L25</f>
        <v>-1535.16666666695</v>
      </c>
    </row>
    <row r="24" customFormat="false" ht="15" hidden="false" customHeight="false" outlineLevel="0" collapsed="false">
      <c r="A24" s="0" t="s">
        <v>75</v>
      </c>
      <c r="B24" s="17" t="n">
        <f aca="false">B21</f>
        <v>-70833.3333333333</v>
      </c>
      <c r="C24" s="17" t="n">
        <f aca="false">C21</f>
        <v>-70833.3333333333</v>
      </c>
      <c r="D24" s="17" t="n">
        <f aca="false">D21</f>
        <v>-70833.3333333333</v>
      </c>
      <c r="E24" s="17" t="n">
        <f aca="false">E21</f>
        <v>-70833.3333333333</v>
      </c>
      <c r="F24" s="17" t="n">
        <f aca="false">F21</f>
        <v>-70833.3333333333</v>
      </c>
      <c r="G24" s="17" t="n">
        <f aca="false">G21</f>
        <v>-70833.3333333333</v>
      </c>
      <c r="H24" s="17" t="n">
        <f aca="false">H21</f>
        <v>-70326.3333333333</v>
      </c>
      <c r="I24" s="17" t="n">
        <f aca="false">I21</f>
        <v>-69058.8333333333</v>
      </c>
      <c r="J24" s="17" t="n">
        <f aca="false">J21</f>
        <v>-67030.8333333333</v>
      </c>
      <c r="K24" s="17" t="n">
        <f aca="false">K21</f>
        <v>-63228.3333333333</v>
      </c>
      <c r="L24" s="17" t="n">
        <f aca="false">L21</f>
        <v>-56890.8333333333</v>
      </c>
      <c r="M24" s="17" t="n">
        <f aca="false">M21</f>
        <v>-49285.8333333333</v>
      </c>
    </row>
    <row r="25" customFormat="false" ht="15" hidden="false" customHeight="false" outlineLevel="0" collapsed="false">
      <c r="A25" s="4" t="s">
        <v>76</v>
      </c>
      <c r="B25" s="17" t="n">
        <f aca="false">B23+B24</f>
        <v>679166.666666667</v>
      </c>
      <c r="C25" s="17" t="n">
        <f aca="false">C23+C24</f>
        <v>608333.333333333</v>
      </c>
      <c r="D25" s="17" t="n">
        <f aca="false">D23+D24</f>
        <v>537500</v>
      </c>
      <c r="E25" s="17" t="n">
        <f aca="false">E23+E24</f>
        <v>466666.666666667</v>
      </c>
      <c r="F25" s="17" t="n">
        <f aca="false">F23+F24</f>
        <v>395833.333333333</v>
      </c>
      <c r="G25" s="17" t="n">
        <f aca="false">G23+G24</f>
        <v>325000</v>
      </c>
      <c r="H25" s="17" t="n">
        <f aca="false">H23+H24</f>
        <v>254673.666666666</v>
      </c>
      <c r="I25" s="17" t="n">
        <f aca="false">I23+I24</f>
        <v>185614.833333333</v>
      </c>
      <c r="J25" s="17" t="n">
        <f aca="false">J23+J24</f>
        <v>118584</v>
      </c>
      <c r="K25" s="17" t="n">
        <f aca="false">K23+K24</f>
        <v>55355.6666666664</v>
      </c>
      <c r="L25" s="17" t="n">
        <f aca="false">L23+L24</f>
        <v>-1535.16666666695</v>
      </c>
      <c r="M25" s="17" t="n">
        <f aca="false">M23+M24</f>
        <v>-50821.0000000003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77</v>
      </c>
    </row>
    <row r="3" customFormat="false" ht="15" hidden="false" customHeight="false" outlineLevel="0" collapsed="false">
      <c r="A3" s="19" t="s">
        <v>78</v>
      </c>
      <c r="B3" s="13" t="s">
        <v>26</v>
      </c>
      <c r="C3" s="13" t="s">
        <v>27</v>
      </c>
      <c r="D3" s="13" t="s">
        <v>28</v>
      </c>
    </row>
    <row r="5" customFormat="false" ht="15" hidden="false" customHeight="false" outlineLevel="0" collapsed="false">
      <c r="A5" s="0" t="s">
        <v>30</v>
      </c>
      <c r="B5" s="20" t="n">
        <f aca="false">Monthly_Y1!M8</f>
        <v>5000</v>
      </c>
      <c r="C5" s="20" t="n">
        <f aca="false">Assumptions!C6</f>
        <v>30000</v>
      </c>
      <c r="D5" s="20" t="n">
        <f aca="false">Assumptions!D6</f>
        <v>90000</v>
      </c>
    </row>
    <row r="6" customFormat="false" ht="15" hidden="false" customHeight="false" outlineLevel="0" collapsed="false">
      <c r="A6" s="0" t="s">
        <v>79</v>
      </c>
      <c r="B6" s="16" t="n">
        <f aca="false">Assumptions!B8</f>
        <v>78</v>
      </c>
      <c r="C6" s="16" t="n">
        <f aca="false">Assumptions!C8</f>
        <v>95</v>
      </c>
      <c r="D6" s="16" t="n">
        <f aca="false">Assumptions!D8</f>
        <v>110</v>
      </c>
    </row>
    <row r="7" customFormat="false" ht="15" hidden="false" customHeight="false" outlineLevel="0" collapsed="false">
      <c r="A7" s="4" t="s">
        <v>80</v>
      </c>
      <c r="B7" s="21" t="n">
        <f aca="false">B5*B6</f>
        <v>390000</v>
      </c>
      <c r="C7" s="21" t="n">
        <f aca="false">C5*C6</f>
        <v>2850000</v>
      </c>
      <c r="D7" s="21" t="n">
        <f aca="false">D5*D6</f>
        <v>9900000</v>
      </c>
    </row>
    <row r="8" customFormat="false" ht="15" hidden="false" customHeight="false" outlineLevel="0" collapsed="false">
      <c r="A8" s="4" t="s">
        <v>81</v>
      </c>
      <c r="B8" s="16" t="n">
        <f aca="false">Monthly_Y1!N10</f>
        <v>63050</v>
      </c>
      <c r="C8" s="17" t="n">
        <f aca="false">((B5+C5)/2)*C6</f>
        <v>1662500</v>
      </c>
      <c r="D8" s="17" t="n">
        <f aca="false">((C5+D5)/2)*D6</f>
        <v>6600000</v>
      </c>
    </row>
    <row r="9" customFormat="false" ht="15" hidden="false" customHeight="false" outlineLevel="0" collapsed="false">
      <c r="A9" s="0" t="s">
        <v>82</v>
      </c>
      <c r="B9" s="22" t="n">
        <f aca="false">Assumptions!B9</f>
        <v>0.78</v>
      </c>
      <c r="C9" s="22" t="n">
        <f aca="false">Assumptions!C9</f>
        <v>0.82</v>
      </c>
      <c r="D9" s="22" t="n">
        <f aca="false">Assumptions!D9</f>
        <v>0.85</v>
      </c>
    </row>
    <row r="10" customFormat="false" ht="15" hidden="false" customHeight="false" outlineLevel="0" collapsed="false">
      <c r="A10" s="0" t="s">
        <v>83</v>
      </c>
      <c r="B10" s="17" t="n">
        <f aca="false">B8*B9</f>
        <v>49179</v>
      </c>
      <c r="C10" s="17" t="n">
        <f aca="false">C8*C9</f>
        <v>1363250</v>
      </c>
      <c r="D10" s="17" t="n">
        <f aca="false">D8*D9</f>
        <v>5610000</v>
      </c>
    </row>
    <row r="12" customFormat="false" ht="15" hidden="false" customHeight="false" outlineLevel="0" collapsed="false">
      <c r="A12" s="0" t="s">
        <v>37</v>
      </c>
      <c r="B12" s="16" t="n">
        <f aca="false">-Assumptions!B14</f>
        <v>-580000</v>
      </c>
      <c r="C12" s="16" t="n">
        <f aca="false">-Assumptions!C14</f>
        <v>-1650000</v>
      </c>
      <c r="D12" s="16" t="n">
        <f aca="false">-Assumptions!D14</f>
        <v>-3800000</v>
      </c>
    </row>
    <row r="13" customFormat="false" ht="15" hidden="false" customHeight="false" outlineLevel="0" collapsed="false">
      <c r="A13" s="0" t="s">
        <v>70</v>
      </c>
      <c r="B13" s="16" t="n">
        <f aca="false">-Assumptions!B15</f>
        <v>-95000</v>
      </c>
      <c r="C13" s="16" t="n">
        <f aca="false">-Assumptions!C15</f>
        <v>-120000</v>
      </c>
      <c r="D13" s="16" t="n">
        <f aca="false">-Assumptions!D15</f>
        <v>-160000</v>
      </c>
    </row>
    <row r="14" customFormat="false" ht="15" hidden="false" customHeight="false" outlineLevel="0" collapsed="false">
      <c r="A14" s="0" t="s">
        <v>39</v>
      </c>
      <c r="B14" s="16" t="n">
        <f aca="false">-Assumptions!B16</f>
        <v>-45000</v>
      </c>
      <c r="C14" s="16" t="n">
        <f aca="false">-Assumptions!C16</f>
        <v>-120000</v>
      </c>
      <c r="D14" s="16" t="n">
        <f aca="false">-Assumptions!D16</f>
        <v>-280000</v>
      </c>
    </row>
    <row r="15" customFormat="false" ht="15" hidden="false" customHeight="false" outlineLevel="0" collapsed="false">
      <c r="A15" s="0" t="s">
        <v>40</v>
      </c>
      <c r="B15" s="16" t="n">
        <f aca="false">-Assumptions!B17</f>
        <v>-30000</v>
      </c>
      <c r="C15" s="16" t="n">
        <f aca="false">-Assumptions!C17</f>
        <v>-800000</v>
      </c>
      <c r="D15" s="16" t="n">
        <f aca="false">-Assumptions!D17</f>
        <v>-2200000</v>
      </c>
    </row>
    <row r="16" customFormat="false" ht="15" hidden="false" customHeight="false" outlineLevel="0" collapsed="false">
      <c r="A16" s="0" t="s">
        <v>41</v>
      </c>
      <c r="B16" s="16" t="n">
        <f aca="false">-Assumptions!B18</f>
        <v>-60000</v>
      </c>
      <c r="C16" s="16" t="n">
        <f aca="false">-Assumptions!C18</f>
        <v>-110000</v>
      </c>
      <c r="D16" s="16" t="n">
        <f aca="false">-Assumptions!D18</f>
        <v>-220000</v>
      </c>
    </row>
    <row r="17" customFormat="false" ht="15" hidden="false" customHeight="false" outlineLevel="0" collapsed="false">
      <c r="A17" s="0" t="s">
        <v>42</v>
      </c>
      <c r="B17" s="16" t="n">
        <f aca="false">-Assumptions!B19</f>
        <v>-40000</v>
      </c>
      <c r="C17" s="16" t="n">
        <f aca="false">-Assumptions!C19</f>
        <v>-95000</v>
      </c>
      <c r="D17" s="16" t="n">
        <f aca="false">-Assumptions!D19</f>
        <v>-260000</v>
      </c>
    </row>
    <row r="19" customFormat="false" ht="15" hidden="false" customHeight="false" outlineLevel="0" collapsed="false">
      <c r="A19" s="4" t="s">
        <v>72</v>
      </c>
      <c r="B19" s="17" t="n">
        <f aca="false">SUM(B12:B17)</f>
        <v>-850000</v>
      </c>
      <c r="C19" s="17" t="n">
        <f aca="false">SUM(C12:C17)</f>
        <v>-2895000</v>
      </c>
      <c r="D19" s="17" t="n">
        <f aca="false">SUM(D12:D17)</f>
        <v>-6920000</v>
      </c>
    </row>
    <row r="21" customFormat="false" ht="15" hidden="false" customHeight="false" outlineLevel="0" collapsed="false">
      <c r="A21" s="4" t="s">
        <v>73</v>
      </c>
      <c r="B21" s="21" t="n">
        <f aca="false">B10+B19</f>
        <v>-800821</v>
      </c>
      <c r="C21" s="21" t="n">
        <f aca="false">C10+C19</f>
        <v>-1531750</v>
      </c>
      <c r="D21" s="21" t="n">
        <f aca="false">D10+D19</f>
        <v>-1310000</v>
      </c>
    </row>
    <row r="22" customFormat="false" ht="15" hidden="false" customHeight="false" outlineLevel="0" collapsed="false">
      <c r="A22" s="0" t="s">
        <v>84</v>
      </c>
      <c r="B22" s="23" t="n">
        <f aca="false">IFERROR(B21/B8,0)</f>
        <v>-12.7013639968279</v>
      </c>
      <c r="C22" s="23" t="n">
        <f aca="false">IFERROR(C21/C8,0)</f>
        <v>-0.921353383458647</v>
      </c>
      <c r="D22" s="23" t="n">
        <f aca="false">IFERROR(D21/D8,0)</f>
        <v>-0.198484848484849</v>
      </c>
    </row>
    <row r="24" customFormat="false" ht="15" hidden="false" customHeight="false" outlineLevel="0" collapsed="false">
      <c r="A24" s="0" t="s">
        <v>85</v>
      </c>
      <c r="B24" s="16" t="n">
        <f aca="false">Assumptions!B22</f>
        <v>750000</v>
      </c>
      <c r="C24" s="16" t="n">
        <f aca="false">Assumptions!C23</f>
        <v>4000000</v>
      </c>
      <c r="D24" s="16" t="n">
        <f aca="false">Assumptions!D24</f>
        <v>15000000</v>
      </c>
    </row>
    <row r="25" customFormat="false" ht="15" hidden="false" customHeight="false" outlineLevel="0" collapsed="false">
      <c r="A25" s="0" t="s">
        <v>86</v>
      </c>
      <c r="B25" s="11" t="n">
        <v>0</v>
      </c>
      <c r="C25" s="17" t="n">
        <f aca="false">B27</f>
        <v>-50821</v>
      </c>
      <c r="D25" s="17" t="n">
        <f aca="false">C27</f>
        <v>2417429</v>
      </c>
    </row>
    <row r="26" customFormat="false" ht="15" hidden="false" customHeight="false" outlineLevel="0" collapsed="false">
      <c r="A26" s="0" t="s">
        <v>87</v>
      </c>
      <c r="B26" s="17" t="n">
        <f aca="false">B21</f>
        <v>-800821</v>
      </c>
      <c r="C26" s="17" t="n">
        <f aca="false">C21</f>
        <v>-1531750</v>
      </c>
      <c r="D26" s="17" t="n">
        <f aca="false">D21</f>
        <v>-1310000</v>
      </c>
    </row>
    <row r="27" customFormat="false" ht="15" hidden="false" customHeight="false" outlineLevel="0" collapsed="false">
      <c r="A27" s="4" t="s">
        <v>88</v>
      </c>
      <c r="B27" s="21" t="n">
        <f aca="false">B25+B24+B26</f>
        <v>-50821</v>
      </c>
      <c r="C27" s="21" t="n">
        <f aca="false">C25+C24+C26</f>
        <v>2417429</v>
      </c>
      <c r="D27" s="21" t="n">
        <f aca="false">D25+D24+D26</f>
        <v>16107429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38"/>
  </cols>
  <sheetData>
    <row r="1" customFormat="false" ht="25.5" hidden="false" customHeight="true" outlineLevel="0" collapsed="false">
      <c r="A1" s="1" t="s">
        <v>89</v>
      </c>
    </row>
    <row r="3" customFormat="false" ht="15" hidden="false" customHeight="false" outlineLevel="0" collapsed="false">
      <c r="A3" s="19" t="s">
        <v>90</v>
      </c>
      <c r="B3" s="13" t="s">
        <v>26</v>
      </c>
      <c r="C3" s="13" t="s">
        <v>27</v>
      </c>
      <c r="D3" s="13" t="s">
        <v>28</v>
      </c>
      <c r="E3" s="13" t="s">
        <v>91</v>
      </c>
    </row>
    <row r="5" customFormat="false" ht="15" hidden="false" customHeight="false" outlineLevel="0" collapsed="false">
      <c r="A5" s="0" t="s">
        <v>92</v>
      </c>
      <c r="B5" s="16" t="n">
        <f aca="false">Assumptions!B8</f>
        <v>78</v>
      </c>
      <c r="C5" s="16" t="n">
        <f aca="false">Assumptions!C8</f>
        <v>95</v>
      </c>
      <c r="D5" s="16" t="n">
        <f aca="false">Assumptions!D8</f>
        <v>110</v>
      </c>
      <c r="E5" s="2" t="s">
        <v>93</v>
      </c>
    </row>
    <row r="6" customFormat="false" ht="15" hidden="false" customHeight="false" outlineLevel="0" collapsed="false">
      <c r="A6" s="0" t="s">
        <v>82</v>
      </c>
      <c r="B6" s="22" t="n">
        <f aca="false">Assumptions!B9</f>
        <v>0.78</v>
      </c>
      <c r="C6" s="22" t="n">
        <f aca="false">Assumptions!C9</f>
        <v>0.82</v>
      </c>
      <c r="D6" s="22" t="n">
        <f aca="false">Assumptions!D9</f>
        <v>0.85</v>
      </c>
      <c r="E6" s="2" t="s">
        <v>93</v>
      </c>
    </row>
    <row r="7" customFormat="false" ht="15" hidden="false" customHeight="false" outlineLevel="0" collapsed="false">
      <c r="A7" s="0" t="s">
        <v>94</v>
      </c>
      <c r="B7" s="17" t="n">
        <f aca="false">B5*B6</f>
        <v>60.84</v>
      </c>
      <c r="C7" s="17" t="n">
        <f aca="false">C5*C6</f>
        <v>77.9</v>
      </c>
      <c r="D7" s="17" t="n">
        <f aca="false">D5*D6</f>
        <v>93.5</v>
      </c>
      <c r="E7" s="2" t="s">
        <v>95</v>
      </c>
    </row>
    <row r="8" customFormat="false" ht="15" hidden="false" customHeight="false" outlineLevel="0" collapsed="false">
      <c r="A8" s="0" t="s">
        <v>96</v>
      </c>
      <c r="B8" s="16" t="n">
        <f aca="false">Assumptions!B11</f>
        <v>18</v>
      </c>
      <c r="C8" s="16" t="n">
        <f aca="false">Assumptions!C11</f>
        <v>25</v>
      </c>
      <c r="D8" s="16" t="n">
        <f aca="false">Assumptions!D11</f>
        <v>32</v>
      </c>
      <c r="E8" s="2" t="s">
        <v>93</v>
      </c>
    </row>
    <row r="9" customFormat="false" ht="15" hidden="false" customHeight="false" outlineLevel="0" collapsed="false">
      <c r="A9" s="0" t="s">
        <v>97</v>
      </c>
      <c r="B9" s="22" t="n">
        <f aca="false">Assumptions!B10</f>
        <v>0.28</v>
      </c>
      <c r="C9" s="22" t="n">
        <f aca="false">Assumptions!C10</f>
        <v>0.22</v>
      </c>
      <c r="D9" s="22" t="n">
        <f aca="false">Assumptions!D10</f>
        <v>0.18</v>
      </c>
      <c r="E9" s="2" t="s">
        <v>93</v>
      </c>
    </row>
    <row r="10" customFormat="false" ht="15" hidden="false" customHeight="false" outlineLevel="0" collapsed="false">
      <c r="A10" s="0" t="s">
        <v>98</v>
      </c>
      <c r="B10" s="24" t="n">
        <f aca="false">1/B9</f>
        <v>3.57142857142857</v>
      </c>
      <c r="C10" s="24" t="n">
        <f aca="false">1/C9</f>
        <v>4.54545454545455</v>
      </c>
      <c r="D10" s="24" t="n">
        <f aca="false">1/D9</f>
        <v>5.55555555555556</v>
      </c>
      <c r="E10" s="2" t="s">
        <v>99</v>
      </c>
    </row>
    <row r="11" customFormat="false" ht="15" hidden="false" customHeight="false" outlineLevel="0" collapsed="false">
      <c r="A11" s="0" t="s">
        <v>100</v>
      </c>
      <c r="B11" s="25" t="n">
        <f aca="false">B7*B10</f>
        <v>217.285714285714</v>
      </c>
      <c r="C11" s="25" t="n">
        <f aca="false">C7*C10</f>
        <v>354.090909090909</v>
      </c>
      <c r="D11" s="25" t="n">
        <f aca="false">D7*D10</f>
        <v>519.444444444445</v>
      </c>
      <c r="E11" s="2" t="s">
        <v>101</v>
      </c>
    </row>
    <row r="12" customFormat="false" ht="15" hidden="false" customHeight="false" outlineLevel="0" collapsed="false">
      <c r="A12" s="0" t="s">
        <v>102</v>
      </c>
      <c r="B12" s="26" t="n">
        <f aca="false">B11/B8</f>
        <v>12.0714285714286</v>
      </c>
      <c r="C12" s="26" t="n">
        <f aca="false">C11/C8</f>
        <v>14.1636363636364</v>
      </c>
      <c r="D12" s="26" t="n">
        <f aca="false">D11/D8</f>
        <v>16.2326388888889</v>
      </c>
      <c r="E12" s="2" t="s">
        <v>103</v>
      </c>
    </row>
    <row r="13" customFormat="false" ht="15" hidden="false" customHeight="false" outlineLevel="0" collapsed="false">
      <c r="A13" s="0" t="s">
        <v>104</v>
      </c>
      <c r="B13" s="24" t="n">
        <f aca="false">B8/(B7/12)</f>
        <v>3.55029585798817</v>
      </c>
      <c r="C13" s="24" t="n">
        <f aca="false">C8/(C7/12)</f>
        <v>3.85109114249037</v>
      </c>
      <c r="D13" s="24" t="n">
        <f aca="false">D8/(D7/12)</f>
        <v>4.10695187165775</v>
      </c>
      <c r="E13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</cols>
  <sheetData>
    <row r="1" customFormat="false" ht="25.5" hidden="false" customHeight="true" outlineLevel="0" collapsed="false">
      <c r="A1" s="1" t="s">
        <v>106</v>
      </c>
    </row>
    <row r="3" customFormat="false" ht="15" hidden="false" customHeight="false" outlineLevel="0" collapsed="false">
      <c r="A3" s="6" t="s">
        <v>107</v>
      </c>
    </row>
    <row r="4" customFormat="false" ht="15" hidden="false" customHeight="false" outlineLevel="0" collapsed="false">
      <c r="A4" s="0" t="s">
        <v>108</v>
      </c>
      <c r="B4" s="9" t="n">
        <v>750000</v>
      </c>
    </row>
    <row r="5" customFormat="false" ht="15" hidden="false" customHeight="false" outlineLevel="0" collapsed="false">
      <c r="A5" s="0" t="s">
        <v>109</v>
      </c>
      <c r="B5" s="9" t="n">
        <v>5000000</v>
      </c>
    </row>
    <row r="6" customFormat="false" ht="15" hidden="false" customHeight="false" outlineLevel="0" collapsed="false">
      <c r="A6" s="0" t="s">
        <v>110</v>
      </c>
      <c r="B6" s="9" t="n">
        <v>4000000</v>
      </c>
    </row>
    <row r="7" customFormat="false" ht="15" hidden="false" customHeight="false" outlineLevel="0" collapsed="false">
      <c r="A7" s="0" t="s">
        <v>111</v>
      </c>
      <c r="B7" s="9" t="n">
        <v>20000000</v>
      </c>
    </row>
    <row r="8" customFormat="false" ht="15" hidden="false" customHeight="false" outlineLevel="0" collapsed="false">
      <c r="A8" s="0" t="s">
        <v>112</v>
      </c>
      <c r="B8" s="9" t="n">
        <v>15000000</v>
      </c>
    </row>
    <row r="9" customFormat="false" ht="15" hidden="false" customHeight="false" outlineLevel="0" collapsed="false">
      <c r="A9" s="0" t="s">
        <v>113</v>
      </c>
      <c r="B9" s="9" t="n">
        <v>70000000</v>
      </c>
    </row>
    <row r="11" customFormat="false" ht="15" hidden="false" customHeight="false" outlineLevel="0" collapsed="false">
      <c r="A11" s="0" t="s">
        <v>114</v>
      </c>
      <c r="B11" s="27" t="n">
        <f aca="false">B4/B5</f>
        <v>0.15</v>
      </c>
    </row>
    <row r="12" customFormat="false" ht="15" hidden="false" customHeight="false" outlineLevel="0" collapsed="false">
      <c r="A12" s="0" t="s">
        <v>115</v>
      </c>
      <c r="B12" s="27" t="n">
        <f aca="false">B6/B7</f>
        <v>0.2</v>
      </c>
    </row>
    <row r="13" customFormat="false" ht="15" hidden="false" customHeight="false" outlineLevel="0" collapsed="false">
      <c r="A13" s="0" t="s">
        <v>116</v>
      </c>
      <c r="B13" s="27" t="n">
        <f aca="false">B8/B9</f>
        <v>0.214285714285714</v>
      </c>
    </row>
    <row r="16" customFormat="false" ht="15" hidden="false" customHeight="false" outlineLevel="0" collapsed="false">
      <c r="A16" s="6" t="s">
        <v>117</v>
      </c>
    </row>
    <row r="17" customFormat="false" ht="15" hidden="false" customHeight="false" outlineLevel="0" collapsed="false">
      <c r="A17" s="19" t="s">
        <v>118</v>
      </c>
      <c r="B17" s="13" t="s">
        <v>119</v>
      </c>
      <c r="C17" s="13" t="s">
        <v>120</v>
      </c>
      <c r="D17" s="13" t="s">
        <v>121</v>
      </c>
      <c r="E17" s="13" t="s">
        <v>122</v>
      </c>
    </row>
    <row r="18" customFormat="false" ht="15" hidden="false" customHeight="false" outlineLevel="0" collapsed="false">
      <c r="A18" s="0" t="s">
        <v>123</v>
      </c>
      <c r="B18" s="10" t="n">
        <v>0.75</v>
      </c>
      <c r="C18" s="23" t="n">
        <f aca="false">B18*(1-$B$11)</f>
        <v>0.6375</v>
      </c>
      <c r="D18" s="23" t="n">
        <f aca="false">C18*(1-$B$12)</f>
        <v>0.51</v>
      </c>
      <c r="E18" s="23" t="n">
        <f aca="false">D18*(1-$B$13)</f>
        <v>0.400714285714286</v>
      </c>
    </row>
    <row r="19" customFormat="false" ht="15" hidden="false" customHeight="false" outlineLevel="0" collapsed="false">
      <c r="A19" s="0" t="s">
        <v>124</v>
      </c>
      <c r="B19" s="10" t="n">
        <v>0.15</v>
      </c>
      <c r="C19" s="23" t="n">
        <f aca="false">B19*(1-$B$11)</f>
        <v>0.1275</v>
      </c>
      <c r="D19" s="23" t="n">
        <f aca="false">C19*(1-$B$12)</f>
        <v>0.102</v>
      </c>
      <c r="E19" s="23" t="n">
        <f aca="false">D19*(1-$B$13)</f>
        <v>0.0801428571428571</v>
      </c>
    </row>
    <row r="20" customFormat="false" ht="15" hidden="false" customHeight="false" outlineLevel="0" collapsed="false">
      <c r="A20" s="0" t="s">
        <v>125</v>
      </c>
      <c r="B20" s="10" t="n">
        <v>0.1</v>
      </c>
      <c r="C20" s="23" t="n">
        <f aca="false">B20*(1-$B$11)-$C$21</f>
        <v>0.07</v>
      </c>
      <c r="D20" s="23" t="n">
        <f aca="false">C20*(1-$B$12)</f>
        <v>0.056</v>
      </c>
      <c r="E20" s="23" t="n">
        <f aca="false">D20*(1-$B$13)</f>
        <v>0.044</v>
      </c>
    </row>
    <row r="21" customFormat="false" ht="15" hidden="false" customHeight="false" outlineLevel="0" collapsed="false">
      <c r="A21" s="0" t="s">
        <v>126</v>
      </c>
      <c r="B21" s="10" t="n">
        <v>0</v>
      </c>
      <c r="C21" s="10" t="n">
        <v>0.015</v>
      </c>
      <c r="D21" s="23" t="n">
        <f aca="false">C21*(1-$B$12)</f>
        <v>0.012</v>
      </c>
      <c r="E21" s="23" t="n">
        <f aca="false">D21*(1-$B$13)</f>
        <v>0.00942857142857143</v>
      </c>
    </row>
    <row r="22" customFormat="false" ht="15" hidden="false" customHeight="false" outlineLevel="0" collapsed="false">
      <c r="A22" s="0" t="s">
        <v>127</v>
      </c>
      <c r="B22" s="10" t="n">
        <v>0</v>
      </c>
      <c r="C22" s="23" t="n">
        <f aca="false">$B$11</f>
        <v>0.15</v>
      </c>
      <c r="D22" s="23" t="n">
        <f aca="false">C22*(1-$B$12)</f>
        <v>0.12</v>
      </c>
      <c r="E22" s="23" t="n">
        <f aca="false">D22*(1-$B$13)</f>
        <v>0.0942857142857143</v>
      </c>
    </row>
    <row r="23" customFormat="false" ht="15" hidden="false" customHeight="false" outlineLevel="0" collapsed="false">
      <c r="A23" s="0" t="s">
        <v>128</v>
      </c>
      <c r="B23" s="10" t="n">
        <v>0</v>
      </c>
      <c r="C23" s="23" t="n">
        <v>0</v>
      </c>
      <c r="D23" s="23" t="n">
        <f aca="false">$B$12</f>
        <v>0.2</v>
      </c>
      <c r="E23" s="23" t="n">
        <f aca="false">D23*(1-$B$13)</f>
        <v>0.157142857142857</v>
      </c>
    </row>
    <row r="24" customFormat="false" ht="15" hidden="false" customHeight="false" outlineLevel="0" collapsed="false">
      <c r="A24" s="0" t="s">
        <v>129</v>
      </c>
      <c r="B24" s="10" t="n">
        <v>0</v>
      </c>
      <c r="C24" s="23" t="n">
        <v>0</v>
      </c>
      <c r="D24" s="23" t="n">
        <v>0</v>
      </c>
      <c r="E24" s="23" t="n">
        <f aca="false">$B$13</f>
        <v>0.214285714285714</v>
      </c>
    </row>
    <row r="25" customFormat="false" ht="15" hidden="false" customHeight="false" outlineLevel="0" collapsed="false">
      <c r="A25" s="4" t="s">
        <v>130</v>
      </c>
      <c r="B25" s="28" t="n">
        <f aca="false">SUM(B18:B24)</f>
        <v>1</v>
      </c>
      <c r="C25" s="29" t="n">
        <f aca="false">SUM(C18:C24)</f>
        <v>1</v>
      </c>
      <c r="D25" s="29" t="n">
        <f aca="false">SUM(D18:D24)</f>
        <v>1</v>
      </c>
      <c r="E25" s="29" t="n">
        <f aca="false">SUM(E18:E24)</f>
        <v>1</v>
      </c>
    </row>
    <row r="27" customFormat="false" ht="15" hidden="false" customHeight="false" outlineLevel="0" collapsed="false">
      <c r="A27" s="6" t="s">
        <v>131</v>
      </c>
      <c r="B27" s="0" t="s">
        <v>132</v>
      </c>
      <c r="C27" s="17" t="n">
        <f aca="false">B5</f>
        <v>5000000</v>
      </c>
      <c r="D27" s="17" t="n">
        <f aca="false">B7</f>
        <v>20000000</v>
      </c>
      <c r="E27" s="17" t="n">
        <f aca="false">B9</f>
        <v>70000000</v>
      </c>
    </row>
    <row r="30" customFormat="false" ht="15" hidden="false" customHeight="true" outlineLevel="0" collapsed="false">
      <c r="A30" s="30" t="s">
        <v>133</v>
      </c>
      <c r="B30" s="30"/>
      <c r="C30" s="30"/>
      <c r="D30" s="30"/>
      <c r="E30" s="30"/>
    </row>
    <row r="31" customFormat="false" ht="15" hidden="false" customHeight="false" outlineLevel="0" collapsed="false">
      <c r="A31" s="30"/>
      <c r="B31" s="30"/>
      <c r="C31" s="30"/>
      <c r="D31" s="30"/>
      <c r="E31" s="30"/>
    </row>
    <row r="32" customFormat="false" ht="15" hidden="false" customHeight="false" outlineLevel="0" collapsed="false">
      <c r="A32" s="30"/>
      <c r="B32" s="30"/>
      <c r="C32" s="30"/>
      <c r="D32" s="30"/>
      <c r="E32" s="30"/>
    </row>
  </sheetData>
  <mergeCells count="1">
    <mergeCell ref="A30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2026-05-19T18:23:24Z</dcterms:created>
  <dc:creator>openpyxl</dc:creator>
  <dc:description/>
  <dc:language>en-US</dc:language>
  <cp:lastModifiedBy/>
  <dcterms:modified xsi:type="dcterms:W3CDTF">2026-05-19T18:23:24Z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